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rra\Downloads\"/>
    </mc:Choice>
  </mc:AlternateContent>
  <xr:revisionPtr revIDLastSave="0" documentId="8_{5090222A-A30B-44C7-9F9D-63EE86F7D03A}" xr6:coauthVersionLast="47" xr6:coauthVersionMax="47" xr10:uidLastSave="{00000000-0000-0000-0000-000000000000}"/>
  <bookViews>
    <workbookView xWindow="-108" yWindow="-108" windowWidth="23256" windowHeight="12456" xr2:uid="{E7022BFD-8EEA-4B82-9D9A-53614D926C9B}"/>
  </bookViews>
  <sheets>
    <sheet name="one way tabl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E15" i="1"/>
  <c r="I7" i="1" s="1"/>
  <c r="G14" i="1"/>
  <c r="E14" i="1"/>
  <c r="H7" i="1" s="1"/>
  <c r="G13" i="1"/>
  <c r="G11" i="1"/>
  <c r="G9" i="1"/>
  <c r="G8" i="1"/>
  <c r="E16" i="1" l="1"/>
  <c r="E17" i="1" l="1"/>
  <c r="K7" i="1" s="1"/>
  <c r="J7" i="1"/>
</calcChain>
</file>

<file path=xl/sharedStrings.xml><?xml version="1.0" encoding="utf-8"?>
<sst xmlns="http://schemas.openxmlformats.org/spreadsheetml/2006/main" count="17" uniqueCount="17">
  <si>
    <t>Mortgage Loan Worksheet</t>
  </si>
  <si>
    <t>Loan Amt</t>
  </si>
  <si>
    <t>Mo Pmt</t>
  </si>
  <si>
    <t>Total Pmts</t>
  </si>
  <si>
    <t>Total Int</t>
  </si>
  <si>
    <t>Input Cells</t>
  </si>
  <si>
    <t>Purchase Price:</t>
  </si>
  <si>
    <t>Interest rate</t>
  </si>
  <si>
    <t>Down Payment:</t>
  </si>
  <si>
    <t>Loan Term:</t>
  </si>
  <si>
    <t>Interest Rate (Months):</t>
  </si>
  <si>
    <t>Result Cells</t>
  </si>
  <si>
    <t>Loan Amount:</t>
  </si>
  <si>
    <t>Monthly Payment:</t>
  </si>
  <si>
    <t>Total Payments:</t>
  </si>
  <si>
    <t>Total Interest: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</si>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</sst>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"/>
    <numFmt numFmtId="166" formatCode="&quot;₹&quot;\ #,##0"/>
    <numFmt numFmtId="167" formatCode="&quot;₹&quot;\ #,##0.00"/>
    <numFmt numFmtId="168" formatCode="0.0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Arial"/>
      <family val="2"/>
    </font>
    <font>
      <b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1" fillId="0" borderId="1" xfId="1" applyBorder="1"/>
    <xf numFmtId="164" fontId="4" fillId="2" borderId="1" xfId="1" applyNumberFormat="1" applyFont="1" applyFill="1" applyBorder="1" applyAlignment="1">
      <alignment horizontal="center"/>
    </xf>
    <xf numFmtId="164" fontId="1" fillId="0" borderId="1" xfId="1" applyNumberFormat="1" applyBorder="1"/>
    <xf numFmtId="0" fontId="5" fillId="0" borderId="0" xfId="1" applyFont="1" applyAlignment="1">
      <alignment vertical="center" textRotation="90"/>
    </xf>
    <xf numFmtId="10" fontId="4" fillId="2" borderId="1" xfId="1" applyNumberFormat="1" applyFont="1" applyFill="1" applyBorder="1"/>
    <xf numFmtId="165" fontId="1" fillId="0" borderId="1" xfId="1" applyNumberFormat="1" applyBorder="1"/>
    <xf numFmtId="9" fontId="1" fillId="0" borderId="1" xfId="1" applyNumberFormat="1" applyBorder="1"/>
    <xf numFmtId="10" fontId="1" fillId="0" borderId="1" xfId="1" applyNumberFormat="1" applyBorder="1"/>
    <xf numFmtId="166" fontId="1" fillId="0" borderId="1" xfId="1" applyNumberFormat="1" applyBorder="1"/>
    <xf numFmtId="167" fontId="6" fillId="0" borderId="0" xfId="0" applyNumberFormat="1" applyFont="1"/>
    <xf numFmtId="0" fontId="1" fillId="0" borderId="0" xfId="1" quotePrefix="1"/>
    <xf numFmtId="168" fontId="1" fillId="0" borderId="0" xfId="1" applyNumberFormat="1"/>
  </cellXfs>
  <cellStyles count="2">
    <cellStyle name="Normal" xfId="0" builtinId="0"/>
    <cellStyle name="Normal 3 2 2" xfId="1" xr:uid="{D85F5D6D-B9A6-46A8-8E27-B6E88A490B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1E1D-0A52-4C6B-B0DE-D7BB2915A846}">
  <dimension ref="C5:K18"/>
  <sheetViews>
    <sheetView tabSelected="1" workbookViewId="0">
      <selection activeCell="G18" sqref="G18"/>
    </sheetView>
  </sheetViews>
  <sheetFormatPr defaultRowHeight="14.4" x14ac:dyDescent="0.3"/>
  <cols>
    <col min="2" max="2" width="7.77734375" customWidth="1"/>
    <col min="3" max="3" width="8.88671875" hidden="1" customWidth="1"/>
    <col min="4" max="4" width="19.44140625" customWidth="1"/>
    <col min="5" max="5" width="29.109375" customWidth="1"/>
    <col min="8" max="8" width="13.33203125" customWidth="1"/>
    <col min="9" max="9" width="11.33203125" customWidth="1"/>
    <col min="10" max="10" width="12.33203125" customWidth="1"/>
    <col min="11" max="11" width="12.21875" customWidth="1"/>
  </cols>
  <sheetData>
    <row r="5" spans="4:11" ht="21" x14ac:dyDescent="0.4">
      <c r="D5" s="1" t="s">
        <v>0</v>
      </c>
      <c r="E5" s="1"/>
    </row>
    <row r="6" spans="4:11" x14ac:dyDescent="0.3">
      <c r="H6" s="2" t="s">
        <v>1</v>
      </c>
      <c r="I6" s="2" t="s">
        <v>2</v>
      </c>
      <c r="J6" s="2" t="s">
        <v>3</v>
      </c>
      <c r="K6" s="2" t="s">
        <v>4</v>
      </c>
    </row>
    <row r="7" spans="4:11" x14ac:dyDescent="0.3">
      <c r="D7" s="3" t="s">
        <v>5</v>
      </c>
      <c r="E7" s="3"/>
      <c r="G7" s="4"/>
      <c r="H7" s="5">
        <f>E14</f>
        <v>293310</v>
      </c>
      <c r="I7" s="5">
        <f>E15</f>
        <v>2059.909688563569</v>
      </c>
      <c r="J7" s="5">
        <f>E16</f>
        <v>741567.4878828848</v>
      </c>
      <c r="K7" s="5">
        <f>E17</f>
        <v>448257.4878828848</v>
      </c>
    </row>
    <row r="8" spans="4:11" x14ac:dyDescent="0.3">
      <c r="D8" s="4" t="s">
        <v>6</v>
      </c>
      <c r="E8" s="6">
        <v>325900</v>
      </c>
      <c r="F8" s="7" t="s">
        <v>7</v>
      </c>
      <c r="G8" s="8">
        <f>E11-0.5%</f>
        <v>6.0000000000000005E-2</v>
      </c>
      <c r="H8" s="9">
        <f t="dataTable" ref="H8:K16" dt2D="0" dtr="0" r1="E11" ca="1"/>
        <v>293310</v>
      </c>
      <c r="I8" s="9">
        <v>1953.9351614728198</v>
      </c>
      <c r="J8" s="9">
        <v>703416.65813021513</v>
      </c>
      <c r="K8" s="9">
        <v>410106.65813021513</v>
      </c>
    </row>
    <row r="9" spans="4:11" x14ac:dyDescent="0.3">
      <c r="D9" s="4" t="s">
        <v>8</v>
      </c>
      <c r="E9" s="10">
        <v>0.1</v>
      </c>
      <c r="F9" s="7"/>
      <c r="G9" s="8">
        <f>E11-0.25%</f>
        <v>6.25E-2</v>
      </c>
      <c r="H9" s="9">
        <v>293310</v>
      </c>
      <c r="I9" s="9">
        <v>1901.8639391495392</v>
      </c>
      <c r="J9" s="9">
        <v>684671.01809383417</v>
      </c>
      <c r="K9" s="9">
        <v>391361.01809383417</v>
      </c>
    </row>
    <row r="10" spans="4:11" x14ac:dyDescent="0.3">
      <c r="D10" s="4" t="s">
        <v>9</v>
      </c>
      <c r="E10" s="4">
        <v>360</v>
      </c>
      <c r="F10" s="7"/>
      <c r="G10" s="8">
        <v>6.5000000000000002E-2</v>
      </c>
      <c r="H10" s="9">
        <v>293310</v>
      </c>
      <c r="I10" s="9">
        <v>2059.909688563569</v>
      </c>
      <c r="J10" s="9">
        <v>741567.4878828848</v>
      </c>
      <c r="K10" s="9">
        <v>448257.4878828848</v>
      </c>
    </row>
    <row r="11" spans="4:11" x14ac:dyDescent="0.3">
      <c r="D11" s="4" t="s">
        <v>10</v>
      </c>
      <c r="E11" s="11">
        <v>6.5000000000000002E-2</v>
      </c>
      <c r="F11" s="7"/>
      <c r="G11" s="8">
        <f>E11+0.25%</f>
        <v>6.7500000000000004E-2</v>
      </c>
      <c r="H11" s="9">
        <v>293310</v>
      </c>
      <c r="I11" s="9">
        <v>2113.7811967158136</v>
      </c>
      <c r="J11" s="9">
        <v>760961.23081769294</v>
      </c>
      <c r="K11" s="9">
        <v>467651.23081769294</v>
      </c>
    </row>
    <row r="12" spans="4:11" x14ac:dyDescent="0.3">
      <c r="F12" s="7"/>
      <c r="G12" s="8">
        <v>7.0000000000000007E-2</v>
      </c>
      <c r="H12" s="9">
        <v>293310</v>
      </c>
      <c r="I12" s="9">
        <v>2168.2208317889581</v>
      </c>
      <c r="J12" s="9">
        <v>780559.49944402487</v>
      </c>
      <c r="K12" s="9">
        <v>487249.49944402487</v>
      </c>
    </row>
    <row r="13" spans="4:11" x14ac:dyDescent="0.3">
      <c r="D13" s="3" t="s">
        <v>11</v>
      </c>
      <c r="E13" s="3"/>
      <c r="F13" s="7"/>
      <c r="G13" s="8">
        <f>E11+0.75%</f>
        <v>7.2500000000000009E-2</v>
      </c>
      <c r="H13" s="9">
        <v>293310</v>
      </c>
      <c r="I13" s="9">
        <v>2334.7875082769224</v>
      </c>
      <c r="J13" s="9">
        <v>840523.50297969207</v>
      </c>
      <c r="K13" s="9">
        <v>547213.50297969207</v>
      </c>
    </row>
    <row r="14" spans="4:11" x14ac:dyDescent="0.3">
      <c r="D14" s="4" t="s">
        <v>12</v>
      </c>
      <c r="E14" s="12">
        <f>E8*(1-E9)</f>
        <v>293310</v>
      </c>
      <c r="F14" s="7"/>
      <c r="G14" s="8">
        <f>E11+1%</f>
        <v>7.4999999999999997E-2</v>
      </c>
      <c r="H14" s="9">
        <v>293310</v>
      </c>
      <c r="I14" s="9">
        <v>2563.8566218939786</v>
      </c>
      <c r="J14" s="9">
        <v>922988.38388183236</v>
      </c>
      <c r="K14" s="9">
        <v>629678.38388183236</v>
      </c>
    </row>
    <row r="15" spans="4:11" x14ac:dyDescent="0.3">
      <c r="D15" s="4" t="s">
        <v>13</v>
      </c>
      <c r="E15" s="13">
        <f>PMT(E11/12,E10,-E8)</f>
        <v>2059.909688563569</v>
      </c>
      <c r="F15" s="7"/>
      <c r="G15" s="8">
        <f>E11+1.25%</f>
        <v>7.7499999999999999E-2</v>
      </c>
      <c r="H15" s="9">
        <v>293310</v>
      </c>
      <c r="I15" s="9">
        <v>2860.0057469193953</v>
      </c>
      <c r="J15" s="9">
        <v>1029602.0688909823</v>
      </c>
      <c r="K15" s="9">
        <v>736292.06889098231</v>
      </c>
    </row>
    <row r="16" spans="4:11" x14ac:dyDescent="0.3">
      <c r="D16" s="4" t="s">
        <v>14</v>
      </c>
      <c r="E16" s="6">
        <f>E15*E10</f>
        <v>741567.4878828848</v>
      </c>
      <c r="F16" s="7"/>
      <c r="G16" s="8">
        <f>E11+1.5%</f>
        <v>0.08</v>
      </c>
      <c r="H16" s="9">
        <v>293310</v>
      </c>
      <c r="I16" s="9">
        <v>3227.3597806002181</v>
      </c>
      <c r="J16" s="9">
        <v>1161849.5210160785</v>
      </c>
      <c r="K16" s="9">
        <v>868539.52101607854</v>
      </c>
    </row>
    <row r="17" spans="4:7" x14ac:dyDescent="0.3">
      <c r="D17" s="4" t="s">
        <v>15</v>
      </c>
      <c r="E17" s="6">
        <f>E16-E14</f>
        <v>448257.4878828848</v>
      </c>
      <c r="F17" s="14"/>
      <c r="G17" s="15"/>
    </row>
    <row r="18" spans="4:7" x14ac:dyDescent="0.3">
      <c r="G18" t="s">
        <v>16</v>
      </c>
    </row>
  </sheetData>
  <mergeCells count="4">
    <mergeCell ref="D5:E5"/>
    <mergeCell ref="D7:E7"/>
    <mergeCell ref="F8:F16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 way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Yerra Guna Shekar</dc:creator>
  <cp:lastModifiedBy>Yerra Guna Shekar</cp:lastModifiedBy>
  <dcterms:created xsi:type="dcterms:W3CDTF">2026-03-09T06:31:55Z</dcterms:created>
  <dcterms:modified xsi:type="dcterms:W3CDTF">2026-03-09T06:32:23Z</dcterms:modified>
</cp:coreProperties>
</file>